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rigor\OneDrive - UNIP\Área de Trabalho\"/>
    </mc:Choice>
  </mc:AlternateContent>
  <xr:revisionPtr revIDLastSave="0" documentId="8_{07285FFE-B37B-4DDB-A8EB-6FB51321F289}" xr6:coauthVersionLast="47" xr6:coauthVersionMax="47" xr10:uidLastSave="{00000000-0000-0000-0000-000000000000}"/>
  <bookViews>
    <workbookView xWindow="-20610" yWindow="2025" windowWidth="20730" windowHeight="11040" tabRatio="500" xr2:uid="{00000000-000D-0000-FFFF-FFFF00000000}"/>
  </bookViews>
  <sheets>
    <sheet name="📋 Resumo" sheetId="1" r:id="rId1"/>
    <sheet name="📦 Product Backlog" sheetId="2" r:id="rId2"/>
    <sheet name="⚙️ Req. Não Funcionais" sheetId="3" r:id="rId3"/>
    <sheet name="🗓️ Sprints" sheetId="4" r:id="rId4"/>
    <sheet name="🏗️ Épicos" sheetId="5" r:id="rId5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8" i="4" l="1"/>
</calcChain>
</file>

<file path=xl/sharedStrings.xml><?xml version="1.0" encoding="utf-8"?>
<sst xmlns="http://schemas.openxmlformats.org/spreadsheetml/2006/main" count="476" uniqueCount="278">
  <si>
    <t>PIM III – ADS | UNIP  ·  2026</t>
  </si>
  <si>
    <t>Projeto</t>
  </si>
  <si>
    <t>Plataforma Web e Mobile de Avaliação e Apoio à Aprendizagem</t>
  </si>
  <si>
    <t>Curso</t>
  </si>
  <si>
    <t>Tecnologia em Análise e Desenvolvimento de Sistemas</t>
  </si>
  <si>
    <t>Instituição</t>
  </si>
  <si>
    <t>UNIP – Universidade Paulista</t>
  </si>
  <si>
    <t>Ano</t>
  </si>
  <si>
    <t>2026</t>
  </si>
  <si>
    <t>Segmento</t>
  </si>
  <si>
    <t>Público-alvo</t>
  </si>
  <si>
    <t>Alunos do Ensino Médio</t>
  </si>
  <si>
    <t>Modelo Receita</t>
  </si>
  <si>
    <t>Licenciamento anual por instituição</t>
  </si>
  <si>
    <t>Plataformas</t>
  </si>
  <si>
    <t>Web (Desktop / Tablet) + Mobile</t>
  </si>
  <si>
    <t>LEGENDA DE PERFIS</t>
  </si>
  <si>
    <t>👨‍🎓 Aluno</t>
  </si>
  <si>
    <t>Realiza avaliações, acessa materiais, acompanha desempenho</t>
  </si>
  <si>
    <t>👩‍🏫 Professor</t>
  </si>
  <si>
    <t>Gerencia avaliações, materiais e relatórios da turma</t>
  </si>
  <si>
    <t>🗂️ Coordenador</t>
  </si>
  <si>
    <t>Gerencia cursos, turmas, vínculos e aprovações</t>
  </si>
  <si>
    <t>⚙️ Administrador</t>
  </si>
  <si>
    <t>Gerencia usuários, turmas e dados de uso da plataforma</t>
  </si>
  <si>
    <t>LEGENDA DE PRIORIDADE (MoSCoW)</t>
  </si>
  <si>
    <t>Essencial para o MVP — sem isso o sistema não funciona</t>
  </si>
  <si>
    <t>Importante, mas o sistema funciona sem no lançamento</t>
  </si>
  <si>
    <t>Desejável — agrega valor mas pode ser adiado</t>
  </si>
  <si>
    <t>ID</t>
  </si>
  <si>
    <t>Perfil</t>
  </si>
  <si>
    <t>Épico</t>
  </si>
  <si>
    <t>User Story</t>
  </si>
  <si>
    <t>Critérios de Aceite</t>
  </si>
  <si>
    <t>Requisito</t>
  </si>
  <si>
    <t>Prioridade</t>
  </si>
  <si>
    <t>Estimativa
(Story Pts)</t>
  </si>
  <si>
    <t>Sprint</t>
  </si>
  <si>
    <t>Status</t>
  </si>
  <si>
    <t>US-01</t>
  </si>
  <si>
    <t>Autenticação</t>
  </si>
  <si>
    <t>Como aluno, quero fazer login com e-mail e senha para acessar a plataforma com segurança.</t>
  </si>
  <si>
    <t>✔ Validação de campos
✔ Senha com BCrypt
✔ Mensagem de erro clara
✔ Redirecionamento ao Dashboard</t>
  </si>
  <si>
    <t>RF01</t>
  </si>
  <si>
    <t>Sprint 1</t>
  </si>
  <si>
    <t>📋 A Fazer</t>
  </si>
  <si>
    <t>US-02</t>
  </si>
  <si>
    <t>Como aluno, quero fazer logout para encerrar minha sessão com segurança.</t>
  </si>
  <si>
    <t>✔ Sessão encerrada
✔ Redirecionamento à tela de login
✔ Token invalidado</t>
  </si>
  <si>
    <t>US-03</t>
  </si>
  <si>
    <t>Dashboard</t>
  </si>
  <si>
    <t>Como aluno, quero visualizar meu Dashboard com resumo de desempenho e avaliações pendentes.</t>
  </si>
  <si>
    <t>✔ Exibe avaliações pendentes e concluídas
✔ Exibe nota média geral
✔ Carrega em até 3s</t>
  </si>
  <si>
    <t>RF02</t>
  </si>
  <si>
    <t>Sprint 2</t>
  </si>
  <si>
    <t>US-04</t>
  </si>
  <si>
    <t>Materiais</t>
  </si>
  <si>
    <t>Como aluno, quero visualizar os materiais (PDF) disponibilizados pelo professor.</t>
  </si>
  <si>
    <t>✔ Lista por disciplina/turma
✔ Abre/baixa PDF
✔ Indica data de publicação</t>
  </si>
  <si>
    <t>RF03</t>
  </si>
  <si>
    <t>US-05</t>
  </si>
  <si>
    <t>Avaliações</t>
  </si>
  <si>
    <t>Como aluno, quero visualizar as avaliações disponíveis para minha turma.</t>
  </si>
  <si>
    <t>✔ Exibe prazo, disciplina e status
✔ Diferencia disponível / encerrada</t>
  </si>
  <si>
    <t>RF04</t>
  </si>
  <si>
    <t>US-06</t>
  </si>
  <si>
    <t>Como aluno, quero realizar uma avaliação dentro do prazo com indicador de progresso.</t>
  </si>
  <si>
    <t>✔ Questões exibidas uma por vez
✔ Barra de progresso
✔ Impede envio fora do prazo
✔ Confirma antes de enviar</t>
  </si>
  <si>
    <t>RF05</t>
  </si>
  <si>
    <t>Sprint 3</t>
  </si>
  <si>
    <t>US-07</t>
  </si>
  <si>
    <t>Como aluno, quero visualizar o resultado da avaliação com detalhamento de acertos e erros.</t>
  </si>
  <si>
    <t>✔ Exibe nota, % de acerto
✔ Destaca questões erradas
✔ Mostra gabarito ao final</t>
  </si>
  <si>
    <t>RF06</t>
  </si>
  <si>
    <t>US-08</t>
  </si>
  <si>
    <t>Desempenho</t>
  </si>
  <si>
    <t>Como aluno, quero ver meu histórico de avaliações e evolução de desempenho.</t>
  </si>
  <si>
    <t>✔ Gráfico de evolução por período
✔ Lista de avaliações realizadas
✔ Filtro por disciplina</t>
  </si>
  <si>
    <t>RF07</t>
  </si>
  <si>
    <t>Sprint 4</t>
  </si>
  <si>
    <t>US-09</t>
  </si>
  <si>
    <t>Feedback</t>
  </si>
  <si>
    <t>Como aluno, quero registrar feedback imediato sobre conteúdos e avaliações.</t>
  </si>
  <si>
    <t>✔ Campo de texto livre
✔ Avaliação por estrelas (1–5)
✔ Confirmação de envio</t>
  </si>
  <si>
    <t>RF08</t>
  </si>
  <si>
    <t>Sprint 5</t>
  </si>
  <si>
    <t>US-10</t>
  </si>
  <si>
    <t>Como professor, quero fazer login e logout para acessar meu painel com segurança.</t>
  </si>
  <si>
    <t>✔ Mesmos critérios de US-01
✔ Redirecionamento ao Painel do Professor</t>
  </si>
  <si>
    <t>RF09</t>
  </si>
  <si>
    <t>US-11</t>
  </si>
  <si>
    <t>Turmas</t>
  </si>
  <si>
    <t>Como professor, quero visualizar as turmas atribuídas a mim.</t>
  </si>
  <si>
    <t>✔ Lista de turmas com nome, curso e período
✔ Acesso aos alunos da turma</t>
  </si>
  <si>
    <t>RF10</t>
  </si>
  <si>
    <t>US-12</t>
  </si>
  <si>
    <t>Como professor, quero criar uma avaliação com questões, prazo e vínculo de turma.</t>
  </si>
  <si>
    <t>✔ Criação com título, disciplina, prazo
✔ Adiciona questões objetivas
✔ Publicação manual</t>
  </si>
  <si>
    <t>RF11</t>
  </si>
  <si>
    <t>US-13</t>
  </si>
  <si>
    <t>Como professor, quero editar ou excluir avaliações não iniciadas.</t>
  </si>
  <si>
    <t>✔ Edição antes do início
✔ Confirma exclusão
✔ Impede edição após início</t>
  </si>
  <si>
    <t>US-14</t>
  </si>
  <si>
    <t>Como professor, quero fazer upload de materiais em PDF vinculados à minha turma.</t>
  </si>
  <si>
    <t>✔ Upload de PDF até 20MB
✔ Nome e descrição do material
✔ Vínculo à turma/disciplina</t>
  </si>
  <si>
    <t>RF12</t>
  </si>
  <si>
    <t>US-15</t>
  </si>
  <si>
    <t>Relatórios</t>
  </si>
  <si>
    <t>Como professor, quero visualizar o relatório de desempenho individual por aluno.</t>
  </si>
  <si>
    <t>✔ Nota por avaliação
✔ Média geral
✔ Evolução temporal</t>
  </si>
  <si>
    <t>RF13</t>
  </si>
  <si>
    <t>US-16</t>
  </si>
  <si>
    <t>Como professor, quero visualizar o relatório de desempenho geral da turma.</t>
  </si>
  <si>
    <t>✔ Média da turma por avaliação
✔ Distribuição de notas
✔ Exportável em PDF</t>
  </si>
  <si>
    <t>RF14</t>
  </si>
  <si>
    <t>US-17</t>
  </si>
  <si>
    <t>Como coordenador, quero fazer login e logout para acessar o painel administrativo.</t>
  </si>
  <si>
    <t>✔ Mesmos critérios de US-01
✔ Redirecionamento ao Painel do Coordenador</t>
  </si>
  <si>
    <t>RF15</t>
  </si>
  <si>
    <t>US-18</t>
  </si>
  <si>
    <t>Como coordenador, quero criar, editar e inativar turmas.</t>
  </si>
  <si>
    <t>✔ Campos: nome, curso, turno, período
✔ Inativação sem exclusão
✔ Validação de duplicidade</t>
  </si>
  <si>
    <t>RF16</t>
  </si>
  <si>
    <t>US-19</t>
  </si>
  <si>
    <t>Usuários</t>
  </si>
  <si>
    <t>Como coordenador, quero gerenciar alunos e professores vinculados aos meus cursos.</t>
  </si>
  <si>
    <t>✔ Lista com filtro por curso/turma
✔ Editar dados cadastrais
✔ Desativar vínculos</t>
  </si>
  <si>
    <t>RF17</t>
  </si>
  <si>
    <t>US-20</t>
  </si>
  <si>
    <t>Matrículas</t>
  </si>
  <si>
    <t>Como coordenador, quero aprovar ou rejeitar matrículas de alunos.</t>
  </si>
  <si>
    <t>✔ Fila de solicitações pendentes
✔ Aprovar com 1 clique
✔ Rejeitar com motivo</t>
  </si>
  <si>
    <t>RF18</t>
  </si>
  <si>
    <t>US-21</t>
  </si>
  <si>
    <t>Cursos</t>
  </si>
  <si>
    <t>Como coordenador, quero criar, editar e inativar cursos.</t>
  </si>
  <si>
    <t>✔ Nome, carga horária, descrição
✔ Inativação com manutenção do histórico</t>
  </si>
  <si>
    <t>RF19</t>
  </si>
  <si>
    <t>US-22</t>
  </si>
  <si>
    <t>Como coordenador, quero gerenciar materiais de estudo por curso e turma.</t>
  </si>
  <si>
    <t>✔ Visualizar, publicar e remover materiais
✔ Filtro por curso/turma</t>
  </si>
  <si>
    <t>RF20</t>
  </si>
  <si>
    <t>US-23</t>
  </si>
  <si>
    <t>Vínculos</t>
  </si>
  <si>
    <t>Como coordenador, quero vincular alunos e professores às turmas.</t>
  </si>
  <si>
    <t>✔ Busca de usuário por nome/e-mail
✔ Adicionar/remover vínculo
✔ Confirmação de ação</t>
  </si>
  <si>
    <t>RF21</t>
  </si>
  <si>
    <t>US-24</t>
  </si>
  <si>
    <t>Como coordenador, quero vincular alunos a cursos.</t>
  </si>
  <si>
    <t>✔ Seleção de aluno e curso
✔ Valida se já vinculado</t>
  </si>
  <si>
    <t>RF22</t>
  </si>
  <si>
    <t>US-25</t>
  </si>
  <si>
    <t>Como coordenador, quero gerar relatório geral de desempenho por curso e turma.</t>
  </si>
  <si>
    <t>✔ Médias por turma e curso
✔ Filtro por período
✔ Exportável</t>
  </si>
  <si>
    <t>RF23</t>
  </si>
  <si>
    <t>US-26</t>
  </si>
  <si>
    <t>Como coordenador, quero gerar relatório individual de desempenho por aluno.</t>
  </si>
  <si>
    <t>✔ Histórico completo do aluno
✔ Evolução por avaliação
✔ Exportável em PDF</t>
  </si>
  <si>
    <t>RF24</t>
  </si>
  <si>
    <t>US-27</t>
  </si>
  <si>
    <t>Como administrador, quero fazer login e logout com segurança.</t>
  </si>
  <si>
    <t>✔ Mesmos critérios de US-01
✔ Acesso exclusivo ao painel admin</t>
  </si>
  <si>
    <t>RF25</t>
  </si>
  <si>
    <t>US-28</t>
  </si>
  <si>
    <t>Como administrador, quero cadastrar, editar e desativar alunos e professores.</t>
  </si>
  <si>
    <t>✔ Formulário completo de cadastro
✔ Edição de dados
✔ Desativação sem exclusão</t>
  </si>
  <si>
    <t>RF26</t>
  </si>
  <si>
    <t>US-29</t>
  </si>
  <si>
    <t>Como administrador, quero criar, editar e inativar turmas da plataforma.</t>
  </si>
  <si>
    <t>✔ Mesmo comportamento de US-18
✔ Acesso irrestrito a todas as turmas</t>
  </si>
  <si>
    <t>RF27</t>
  </si>
  <si>
    <t>US-30</t>
  </si>
  <si>
    <t>Como administrador, quero vincular alunos e professores a quaisquer turmas.</t>
  </si>
  <si>
    <t>✔ Busca global de usuários
✔ Vínculo e desvinculação
✔ Log de operações</t>
  </si>
  <si>
    <t>RF28</t>
  </si>
  <si>
    <t>US-31</t>
  </si>
  <si>
    <t>Painel de Uso</t>
  </si>
  <si>
    <t>Como administrador, quero acessar um painel com dados de uso da plataforma.</t>
  </si>
  <si>
    <t>✔ Total de usuários ativos
✔ Avaliações realizadas por período
✔ Acessos por dia
✔ Gráficos dinâmicos</t>
  </si>
  <si>
    <t>RF29</t>
  </si>
  <si>
    <t>REQUISITOS NÃO FUNCIONAIS</t>
  </si>
  <si>
    <t>Código</t>
  </si>
  <si>
    <t>Categoria</t>
  </si>
  <si>
    <t>Subcategoria</t>
  </si>
  <si>
    <t>Descrição</t>
  </si>
  <si>
    <t>Relação RF</t>
  </si>
  <si>
    <t>RNF01</t>
  </si>
  <si>
    <t>Usabilidade</t>
  </si>
  <si>
    <t>UX / Design</t>
  </si>
  <si>
    <t>Interface simples e intuitiva adaptada ao perfil de alunos do ensino médio</t>
  </si>
  <si>
    <t>Todos</t>
  </si>
  <si>
    <t>RNF02</t>
  </si>
  <si>
    <t>Responsividade</t>
  </si>
  <si>
    <t>Layout Adaptativo</t>
  </si>
  <si>
    <t>O sistema deve funcionar corretamente em desktop, tablet e celular</t>
  </si>
  <si>
    <t>RNF03</t>
  </si>
  <si>
    <t>Segurança</t>
  </si>
  <si>
    <t>Criptografia</t>
  </si>
  <si>
    <t>Senhas devem ser armazenadas com hash BCrypt — nunca em texto plano</t>
  </si>
  <si>
    <t>RF01,RF09,RF15,RF25</t>
  </si>
  <si>
    <t>RNF04</t>
  </si>
  <si>
    <t>Tempo de Resposta</t>
  </si>
  <si>
    <t>Todas as páginas devem carregar em até 3 segundos em conexão padrão</t>
  </si>
  <si>
    <t>RNF05</t>
  </si>
  <si>
    <t>Disponibilidade</t>
  </si>
  <si>
    <t>Uptime</t>
  </si>
  <si>
    <t>Sistema deve estar disponível pelo menos 95% do tempo (≈ 18h/dia)</t>
  </si>
  <si>
    <t>RNF06</t>
  </si>
  <si>
    <t>Compatibilidade</t>
  </si>
  <si>
    <t>Navegadores</t>
  </si>
  <si>
    <t>Suporte a Chrome, Firefox e Edge nas versões dos últimos 2 anos</t>
  </si>
  <si>
    <t>RNF07</t>
  </si>
  <si>
    <t>Privacidade</t>
  </si>
  <si>
    <t>LGPD</t>
  </si>
  <si>
    <t>Dados pessoais e de progresso dos alunos devem ser tratados conforme a LGPD</t>
  </si>
  <si>
    <t>RNF08</t>
  </si>
  <si>
    <t>Manutenibilidade</t>
  </si>
  <si>
    <t>Código deve seguir princípios de Orientação a Objetos e boas práticas C#</t>
  </si>
  <si>
    <t>RNF09</t>
  </si>
  <si>
    <t>Acessibilidade</t>
  </si>
  <si>
    <t>WCAG</t>
  </si>
  <si>
    <t>Contraste adequado (WCAG AA) e textos alternativos em todas as imagens</t>
  </si>
  <si>
    <t>PLANEJAMENTO DE SPRINTS</t>
  </si>
  <si>
    <t>Objetivo</t>
  </si>
  <si>
    <t>User Stories</t>
  </si>
  <si>
    <t>Descrição Resumida</t>
  </si>
  <si>
    <t>Story Pts</t>
  </si>
  <si>
    <t>Autenticação de todos os perfis</t>
  </si>
  <si>
    <t>US-01, US-02, US-10, US-17, US-27</t>
  </si>
  <si>
    <t>Login e logout com e-mail e senha para Aluno, Professor, Coordenador e Administrador. Senhas criptografadas com BCrypt.</t>
  </si>
  <si>
    <t>Dashboard, Materiais e Gestão Base</t>
  </si>
  <si>
    <t>US-03, US-04, US-05, US-11, US-14, US-18, US-19, US-21, US-28, US-29, US-30</t>
  </si>
  <si>
    <t>Dashboard do aluno, visualização de materiais e avaliações disponíveis. Gestão de turmas, cursos, usuários e vínculos.</t>
  </si>
  <si>
    <t>Avaliações e Vínculos</t>
  </si>
  <si>
    <t>US-06, US-07, US-12, US-13, US-20, US-23, US-24</t>
  </si>
  <si>
    <t>Realização de avaliações pelo aluno com resultado detalhado. Criação e edição de avaliações pelo professor. Aprovação de matrículas e vínculos.</t>
  </si>
  <si>
    <t>Aluno / Professor / Coord.</t>
  </si>
  <si>
    <t>Relatórios e Desempenho</t>
  </si>
  <si>
    <t>US-08, US-15, US-16, US-22, US-25, US-26</t>
  </si>
  <si>
    <t>Histórico e evolução de desempenho do aluno. Relatórios individuais e gerais para professor e coordenador. Gestão de materiais pelo coordenador.</t>
  </si>
  <si>
    <t>Feedback e Painel Admin</t>
  </si>
  <si>
    <t>US-09, US-31</t>
  </si>
  <si>
    <t>Feedback imediato de alunos sobre conteúdos e avaliações. Painel com dados de uso da plataforma para o Administrador.</t>
  </si>
  <si>
    <t>Aluno / Admin</t>
  </si>
  <si>
    <t>TOTAL DE STORY POINTS</t>
  </si>
  <si>
    <t>ÉPICOS DO PROJETO</t>
  </si>
  <si>
    <t>Perfis Envolvidos</t>
  </si>
  <si>
    <t>Permitir acesso seguro à plataforma com login/logout e senhas criptografadas</t>
  </si>
  <si>
    <t>US-01,02,10,17,27</t>
  </si>
  <si>
    <t>Aluno</t>
  </si>
  <si>
    <t>Exibir resumo de desempenho, avaliações pendentes e concluídas</t>
  </si>
  <si>
    <t>Aluno, Professor, Coordenador</t>
  </si>
  <si>
    <t>Publicar, acessar e gerenciar materiais de estudo em PDF</t>
  </si>
  <si>
    <t>US-04,14,22</t>
  </si>
  <si>
    <t>Aluno, Professor</t>
  </si>
  <si>
    <t>Criar, publicar, responder e corrigir avaliações online</t>
  </si>
  <si>
    <t>US-05,06,07,12,13</t>
  </si>
  <si>
    <t>Turmas e Cursos</t>
  </si>
  <si>
    <t>Coordenador, Admin</t>
  </si>
  <si>
    <t>Gerenciar turmas, cursos, matrículas e vínculos</t>
  </si>
  <si>
    <t>US-11,18,19,20,21,23,24,28,29,30</t>
  </si>
  <si>
    <t>Professor, Coordenador</t>
  </si>
  <si>
    <t>Gerar e visualizar relatórios de desempenho por aluno e turma</t>
  </si>
  <si>
    <t>US-15,16,25,26</t>
  </si>
  <si>
    <t>Desempenho do Aluno</t>
  </si>
  <si>
    <t>Visualizar histórico e evolução de desempenho</t>
  </si>
  <si>
    <t>Registrar feedback sobre conteúdos e avaliações</t>
  </si>
  <si>
    <t>Painel Administrativo</t>
  </si>
  <si>
    <t>Administrador</t>
  </si>
  <si>
    <t>Visualizar dados de uso e métricas gerais da plataforma</t>
  </si>
  <si>
    <t>PRODUCT BACKLOG — Plataforma Code Rise Academy</t>
  </si>
  <si>
    <t>Tecnologia Educacional Code Rise Academy</t>
  </si>
  <si>
    <t>🔴 Prioridade alta</t>
  </si>
  <si>
    <t>🟡 Prioridade média</t>
  </si>
  <si>
    <t>🟢 Prioridade baixa</t>
  </si>
  <si>
    <t>PRODUCT BACKLOG —  Code Rise Academy</t>
  </si>
  <si>
    <t>🟡 Prioridade Média</t>
  </si>
  <si>
    <t>🟢 Prioridade Baixa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</si>
</sst>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5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C0392B"/>
      <name val="Arial"/>
      <charset val="1"/>
    </font>
    <font>
      <b/>
      <sz val="9"/>
      <color rgb="FFD68910"/>
      <name val="Arial"/>
      <charset val="1"/>
    </font>
    <font>
      <b/>
      <sz val="9"/>
      <color rgb="FF1E8449"/>
      <name val="Arial"/>
      <charset val="1"/>
    </font>
    <font>
      <b/>
      <sz val="14"/>
      <color rgb="FFFFFFFF"/>
      <name val="Arial"/>
      <charset val="1"/>
    </font>
    <font>
      <b/>
      <sz val="10"/>
      <color rgb="FFC0392B"/>
      <name val="Arial"/>
      <charset val="1"/>
    </font>
    <font>
      <b/>
      <sz val="10"/>
      <color rgb="FFD68910"/>
      <name val="Arial"/>
      <charset val="1"/>
    </font>
    <font>
      <b/>
      <sz val="11"/>
      <color rgb="FFFFFFFF"/>
      <name val="Arial"/>
      <charset val="1"/>
    </font>
    <font>
      <b/>
      <sz val="10"/>
      <color rgb="FF1E8449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rgb="FFEBF5FB"/>
        <bgColor rgb="FFFDFEFE"/>
      </patternFill>
    </fill>
    <fill>
      <patternFill patternType="solid">
        <fgColor rgb="FFFDFEFE"/>
        <bgColor rgb="FFFFFFFF"/>
      </patternFill>
    </fill>
    <fill>
      <patternFill patternType="solid">
        <fgColor rgb="FFD6E4F0"/>
        <bgColor rgb="FFE8DAEF"/>
      </patternFill>
    </fill>
    <fill>
      <patternFill patternType="solid">
        <fgColor rgb="FFD5F5E3"/>
        <bgColor rgb="FFD6E4F0"/>
      </patternFill>
    </fill>
    <fill>
      <patternFill patternType="solid">
        <fgColor rgb="FFFEF9E7"/>
        <bgColor rgb="FFFDFEFE"/>
      </patternFill>
    </fill>
    <fill>
      <patternFill patternType="solid">
        <fgColor rgb="FFFDEDEC"/>
        <bgColor rgb="FFFEF9E7"/>
      </patternFill>
    </fill>
    <fill>
      <patternFill patternType="solid">
        <fgColor rgb="FFE74C3C"/>
        <bgColor rgb="FFC0392B"/>
      </patternFill>
    </fill>
    <fill>
      <patternFill patternType="solid">
        <fgColor rgb="FFF39C12"/>
        <bgColor rgb="FFD68910"/>
      </patternFill>
    </fill>
    <fill>
      <patternFill patternType="solid">
        <fgColor rgb="FF27AE60"/>
        <bgColor rgb="FF1E8449"/>
      </patternFill>
    </fill>
    <fill>
      <patternFill patternType="solid">
        <fgColor rgb="FF7030A0"/>
        <bgColor rgb="FF3366FF"/>
      </patternFill>
    </fill>
    <fill>
      <patternFill patternType="solid">
        <fgColor rgb="FF7030A0"/>
        <bgColor rgb="FF333333"/>
      </patternFill>
    </fill>
    <fill>
      <patternFill patternType="solid">
        <fgColor theme="0" tint="-0.14999847407452621"/>
        <bgColor rgb="FFFDFEFE"/>
      </patternFill>
    </fill>
    <fill>
      <patternFill patternType="solid">
        <fgColor theme="0" tint="-0.14999847407452621"/>
        <bgColor rgb="FFE8DAEF"/>
      </patternFill>
    </fill>
    <fill>
      <patternFill patternType="solid">
        <fgColor theme="0"/>
        <bgColor rgb="FFD6E4F0"/>
      </patternFill>
    </fill>
    <fill>
      <patternFill patternType="solid">
        <fgColor theme="0"/>
        <bgColor rgb="FFFEF9E7"/>
      </patternFill>
    </fill>
    <fill>
      <patternFill patternType="solid">
        <fgColor theme="0" tint="-0.499984740745262"/>
        <bgColor rgb="FF3366FF"/>
      </patternFill>
    </fill>
    <fill>
      <patternFill patternType="solid">
        <fgColor theme="0" tint="-0.14999847407452621"/>
        <bgColor rgb="FFD6E4F0"/>
      </patternFill>
    </fill>
    <fill>
      <patternFill patternType="solid">
        <fgColor theme="0" tint="-0.499984740745262"/>
        <bgColor rgb="FF333333"/>
      </patternFill>
    </fill>
  </fills>
  <borders count="4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8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0" fontId="5" fillId="16" borderId="3" xfId="0" applyFont="1" applyFill="1" applyBorder="1" applyAlignment="1">
      <alignment horizontal="center" vertical="center"/>
    </xf>
    <xf numFmtId="0" fontId="3" fillId="17" borderId="3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left" vertical="center" wrapText="1"/>
    </xf>
    <xf numFmtId="0" fontId="4" fillId="13" borderId="3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left" vertical="center" wrapText="1"/>
    </xf>
    <xf numFmtId="0" fontId="4" fillId="18" borderId="3" xfId="0" applyFont="1" applyFill="1" applyBorder="1" applyAlignment="1">
      <alignment horizontal="center" vertical="center" wrapText="1"/>
    </xf>
    <xf numFmtId="0" fontId="4" fillId="18" borderId="3" xfId="0" applyFont="1" applyFill="1" applyBorder="1" applyAlignment="1">
      <alignment horizontal="left" vertical="center" wrapText="1"/>
    </xf>
    <xf numFmtId="0" fontId="4" fillId="16" borderId="3" xfId="0" applyFont="1" applyFill="1" applyBorder="1" applyAlignment="1">
      <alignment horizontal="center" vertical="center" wrapText="1"/>
    </xf>
    <xf numFmtId="0" fontId="4" fillId="16" borderId="3" xfId="0" applyFont="1" applyFill="1" applyBorder="1" applyAlignment="1">
      <alignment horizontal="left" vertical="center" wrapText="1"/>
    </xf>
    <xf numFmtId="0" fontId="4" fillId="15" borderId="3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left" vertical="center" wrapText="1"/>
    </xf>
    <xf numFmtId="0" fontId="14" fillId="19" borderId="3" xfId="0" applyFont="1" applyFill="1" applyBorder="1" applyAlignment="1">
      <alignment horizontal="center" vertical="center"/>
    </xf>
    <xf numFmtId="0" fontId="0" fillId="19" borderId="3" xfId="0" applyFill="1" applyBorder="1"/>
    <xf numFmtId="0" fontId="1" fillId="12" borderId="1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12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left" vertical="center"/>
    </xf>
    <xf numFmtId="0" fontId="4" fillId="14" borderId="2" xfId="0" applyFont="1" applyFill="1" applyBorder="1" applyAlignment="1">
      <alignment horizontal="left" vertical="center"/>
    </xf>
    <xf numFmtId="0" fontId="4" fillId="15" borderId="2" xfId="0" applyFont="1" applyFill="1" applyBorder="1" applyAlignment="1">
      <alignment horizontal="left" vertical="center"/>
    </xf>
    <xf numFmtId="0" fontId="4" fillId="16" borderId="2" xfId="0" applyFont="1" applyFill="1" applyBorder="1" applyAlignment="1">
      <alignment horizontal="left" vertical="center"/>
    </xf>
    <xf numFmtId="0" fontId="6" fillId="12" borderId="2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14" fillId="1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C0C0C0"/>
      <rgbColor rgb="FF808080"/>
      <rgbColor rgb="FF9999FF"/>
      <rgbColor rgb="FF993366"/>
      <rgbColor rgb="FFFEF9E7"/>
      <rgbColor rgb="FFEBF5FB"/>
      <rgbColor rgb="FF660066"/>
      <rgbColor rgb="FFD68910"/>
      <rgbColor rgb="FF2E5FA3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5F5E3"/>
      <rgbColor rgb="FFFDEDEC"/>
      <rgbColor rgb="FF99CCFF"/>
      <rgbColor rgb="FFFF99CC"/>
      <rgbColor rgb="FFCC99FF"/>
      <rgbColor rgb="FFFDFEFE"/>
      <rgbColor rgb="FF3366FF"/>
      <rgbColor rgb="FF33CCCC"/>
      <rgbColor rgb="FF99CC00"/>
      <rgbColor rgb="FFFFCC00"/>
      <rgbColor rgb="FFF39C12"/>
      <rgbColor rgb="FFE74C3C"/>
      <rgbColor rgb="FF666699"/>
      <rgbColor rgb="FFAAAAAA"/>
      <rgbColor rgb="FF1F3864"/>
      <rgbColor rgb="FF27AE60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4"/>
  <sheetViews>
    <sheetView showGridLines="0" tabSelected="1" topLeftCell="A14" zoomScaleNormal="100" workbookViewId="0">
      <selection activeCell="C31" sqref="C30:C31"/>
    </sheetView>
  </sheetViews>
  <sheetFormatPr defaultColWidth="8.7109375" defaultRowHeight="15" x14ac:dyDescent="0.25"/>
  <cols>
    <col min="1" max="1" width="3" customWidth="1"/>
    <col min="2" max="2" width="28" customWidth="1"/>
    <col min="3" max="3" width="50" customWidth="1"/>
    <col min="4" max="4" width="18" customWidth="1"/>
    <col min="5" max="5" width="3" customWidth="1"/>
  </cols>
  <sheetData>
    <row r="2" spans="2:4" x14ac:dyDescent="0.25">
      <c r="B2" s="48" t="s">
        <v>270</v>
      </c>
      <c r="C2" s="48"/>
      <c r="D2" s="48"/>
    </row>
    <row r="3" spans="2:4" x14ac:dyDescent="0.25">
      <c r="B3" s="48"/>
      <c r="C3" s="48"/>
      <c r="D3" s="48"/>
    </row>
    <row r="4" spans="2:4" x14ac:dyDescent="0.25">
      <c r="B4" s="49" t="s">
        <v>0</v>
      </c>
      <c r="C4" s="49"/>
      <c r="D4" s="49"/>
    </row>
    <row r="6" spans="2:4" ht="21.75" customHeight="1" x14ac:dyDescent="0.25">
      <c r="B6" s="30" t="s">
        <v>1</v>
      </c>
      <c r="C6" s="50" t="s">
        <v>2</v>
      </c>
      <c r="D6" s="50"/>
    </row>
    <row r="7" spans="2:4" ht="21.75" customHeight="1" x14ac:dyDescent="0.25">
      <c r="B7" s="30" t="s">
        <v>3</v>
      </c>
      <c r="C7" s="51" t="s">
        <v>4</v>
      </c>
      <c r="D7" s="51"/>
    </row>
    <row r="8" spans="2:4" ht="21.75" customHeight="1" x14ac:dyDescent="0.25">
      <c r="B8" s="30" t="s">
        <v>5</v>
      </c>
      <c r="C8" s="50" t="s">
        <v>6</v>
      </c>
      <c r="D8" s="50"/>
    </row>
    <row r="9" spans="2:4" ht="21.75" customHeight="1" x14ac:dyDescent="0.25">
      <c r="B9" s="30" t="s">
        <v>7</v>
      </c>
      <c r="C9" s="51" t="s">
        <v>8</v>
      </c>
      <c r="D9" s="51"/>
    </row>
    <row r="10" spans="2:4" ht="21.75" customHeight="1" x14ac:dyDescent="0.25">
      <c r="B10" s="30" t="s">
        <v>9</v>
      </c>
      <c r="C10" s="50" t="s">
        <v>271</v>
      </c>
      <c r="D10" s="50"/>
    </row>
    <row r="11" spans="2:4" ht="21.75" customHeight="1" x14ac:dyDescent="0.25">
      <c r="B11" s="30" t="s">
        <v>10</v>
      </c>
      <c r="C11" s="51" t="s">
        <v>11</v>
      </c>
      <c r="D11" s="51"/>
    </row>
    <row r="12" spans="2:4" ht="21.75" customHeight="1" x14ac:dyDescent="0.25">
      <c r="B12" s="30" t="s">
        <v>12</v>
      </c>
      <c r="C12" s="50" t="s">
        <v>13</v>
      </c>
      <c r="D12" s="50"/>
    </row>
    <row r="13" spans="2:4" ht="21.75" customHeight="1" x14ac:dyDescent="0.25">
      <c r="B13" s="30" t="s">
        <v>14</v>
      </c>
      <c r="C13" s="51" t="s">
        <v>15</v>
      </c>
      <c r="D13" s="51"/>
    </row>
    <row r="15" spans="2:4" x14ac:dyDescent="0.25">
      <c r="B15" s="52" t="s">
        <v>16</v>
      </c>
      <c r="C15" s="52"/>
      <c r="D15" s="52"/>
    </row>
    <row r="16" spans="2:4" ht="21.75" customHeight="1" x14ac:dyDescent="0.25">
      <c r="B16" s="32" t="s">
        <v>17</v>
      </c>
      <c r="C16" s="56" t="s">
        <v>18</v>
      </c>
      <c r="D16" s="56"/>
    </row>
    <row r="17" spans="2:4" ht="21.75" customHeight="1" x14ac:dyDescent="0.25">
      <c r="B17" s="33" t="s">
        <v>19</v>
      </c>
      <c r="C17" s="57" t="s">
        <v>20</v>
      </c>
      <c r="D17" s="57"/>
    </row>
    <row r="18" spans="2:4" ht="21.75" customHeight="1" x14ac:dyDescent="0.25">
      <c r="B18" s="31" t="s">
        <v>21</v>
      </c>
      <c r="C18" s="50" t="s">
        <v>22</v>
      </c>
      <c r="D18" s="50"/>
    </row>
    <row r="19" spans="2:4" ht="21.75" customHeight="1" x14ac:dyDescent="0.25">
      <c r="B19" s="34" t="s">
        <v>23</v>
      </c>
      <c r="C19" s="58" t="s">
        <v>24</v>
      </c>
      <c r="D19" s="58"/>
    </row>
    <row r="21" spans="2:4" x14ac:dyDescent="0.25">
      <c r="B21" s="52" t="s">
        <v>25</v>
      </c>
      <c r="C21" s="52"/>
      <c r="D21" s="52"/>
    </row>
    <row r="22" spans="2:4" ht="21.75" customHeight="1" x14ac:dyDescent="0.25">
      <c r="B22" s="1" t="s">
        <v>272</v>
      </c>
      <c r="C22" s="53" t="s">
        <v>26</v>
      </c>
      <c r="D22" s="53"/>
    </row>
    <row r="23" spans="2:4" ht="21.75" customHeight="1" x14ac:dyDescent="0.25">
      <c r="B23" s="2" t="s">
        <v>273</v>
      </c>
      <c r="C23" s="54" t="s">
        <v>27</v>
      </c>
      <c r="D23" s="54"/>
    </row>
    <row r="24" spans="2:4" ht="21.75" customHeight="1" x14ac:dyDescent="0.25">
      <c r="B24" s="3" t="s">
        <v>274</v>
      </c>
      <c r="C24" s="55" t="s">
        <v>28</v>
      </c>
      <c r="D24" s="55"/>
    </row>
  </sheetData>
  <mergeCells count="19">
    <mergeCell ref="B21:D21"/>
    <mergeCell ref="C22:D22"/>
    <mergeCell ref="C23:D23"/>
    <mergeCell ref="C24:D24"/>
    <mergeCell ref="B15:D15"/>
    <mergeCell ref="C16:D16"/>
    <mergeCell ref="C17:D17"/>
    <mergeCell ref="C18:D18"/>
    <mergeCell ref="C19:D19"/>
    <mergeCell ref="C9:D9"/>
    <mergeCell ref="C10:D10"/>
    <mergeCell ref="C11:D11"/>
    <mergeCell ref="C12:D12"/>
    <mergeCell ref="C13:D13"/>
    <mergeCell ref="B2:D3"/>
    <mergeCell ref="B4:D4"/>
    <mergeCell ref="C6:D6"/>
    <mergeCell ref="C7:D7"/>
    <mergeCell ref="C8:D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3"/>
  <sheetViews>
    <sheetView showGridLines="0" zoomScaleNormal="100" workbookViewId="0">
      <pane ySplit="2" topLeftCell="A30" activePane="bottomLeft" state="frozen"/>
      <selection pane="bottomLeft" activeCell="F16" sqref="F16"/>
    </sheetView>
  </sheetViews>
  <sheetFormatPr defaultColWidth="8.7109375" defaultRowHeight="15" x14ac:dyDescent="0.25"/>
  <cols>
    <col min="1" max="1" width="6" customWidth="1"/>
    <col min="2" max="2" width="16" customWidth="1"/>
    <col min="3" max="3" width="22" customWidth="1"/>
    <col min="4" max="4" width="52" customWidth="1"/>
    <col min="5" max="5" width="36" customWidth="1"/>
    <col min="6" max="6" width="16" customWidth="1"/>
    <col min="7" max="9" width="14" customWidth="1"/>
    <col min="10" max="10" width="12" customWidth="1"/>
  </cols>
  <sheetData>
    <row r="1" spans="1:10" ht="36" customHeight="1" x14ac:dyDescent="0.25">
      <c r="A1" s="59" t="s">
        <v>275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19.5" customHeight="1" x14ac:dyDescent="0.25">
      <c r="A2" s="35" t="s">
        <v>29</v>
      </c>
      <c r="B2" s="35" t="s">
        <v>30</v>
      </c>
      <c r="C2" s="35" t="s">
        <v>31</v>
      </c>
      <c r="D2" s="35" t="s">
        <v>32</v>
      </c>
      <c r="E2" s="35" t="s">
        <v>33</v>
      </c>
      <c r="F2" s="35" t="s">
        <v>34</v>
      </c>
      <c r="G2" s="35" t="s">
        <v>35</v>
      </c>
      <c r="H2" s="35" t="s">
        <v>36</v>
      </c>
      <c r="I2" s="35" t="s">
        <v>37</v>
      </c>
      <c r="J2" s="35" t="s">
        <v>38</v>
      </c>
    </row>
    <row r="3" spans="1:10" ht="69.75" customHeight="1" x14ac:dyDescent="0.25">
      <c r="A3" s="4" t="s">
        <v>39</v>
      </c>
      <c r="B3" s="5" t="s">
        <v>17</v>
      </c>
      <c r="C3" s="5" t="s">
        <v>40</v>
      </c>
      <c r="D3" s="5" t="s">
        <v>41</v>
      </c>
      <c r="E3" s="5" t="s">
        <v>42</v>
      </c>
      <c r="F3" s="4" t="s">
        <v>43</v>
      </c>
      <c r="G3" s="6" t="s">
        <v>272</v>
      </c>
      <c r="H3" s="4">
        <v>5</v>
      </c>
      <c r="I3" s="4" t="s">
        <v>44</v>
      </c>
      <c r="J3" s="4" t="s">
        <v>45</v>
      </c>
    </row>
    <row r="4" spans="1:10" ht="69.75" customHeight="1" x14ac:dyDescent="0.25">
      <c r="A4" s="4" t="s">
        <v>46</v>
      </c>
      <c r="B4" s="5" t="s">
        <v>17</v>
      </c>
      <c r="C4" s="5" t="s">
        <v>40</v>
      </c>
      <c r="D4" s="5" t="s">
        <v>47</v>
      </c>
      <c r="E4" s="5" t="s">
        <v>48</v>
      </c>
      <c r="F4" s="4" t="s">
        <v>43</v>
      </c>
      <c r="G4" s="6" t="s">
        <v>272</v>
      </c>
      <c r="H4" s="4">
        <v>2</v>
      </c>
      <c r="I4" s="4" t="s">
        <v>44</v>
      </c>
      <c r="J4" s="4" t="s">
        <v>45</v>
      </c>
    </row>
    <row r="5" spans="1:10" ht="69.75" customHeight="1" x14ac:dyDescent="0.25">
      <c r="A5" s="4" t="s">
        <v>49</v>
      </c>
      <c r="B5" s="5" t="s">
        <v>17</v>
      </c>
      <c r="C5" s="5" t="s">
        <v>50</v>
      </c>
      <c r="D5" s="5" t="s">
        <v>51</v>
      </c>
      <c r="E5" s="5" t="s">
        <v>52</v>
      </c>
      <c r="F5" s="4" t="s">
        <v>53</v>
      </c>
      <c r="G5" s="6" t="s">
        <v>272</v>
      </c>
      <c r="H5" s="4">
        <v>8</v>
      </c>
      <c r="I5" s="4" t="s">
        <v>54</v>
      </c>
      <c r="J5" s="4" t="s">
        <v>45</v>
      </c>
    </row>
    <row r="6" spans="1:10" ht="69.75" customHeight="1" x14ac:dyDescent="0.25">
      <c r="A6" s="4" t="s">
        <v>55</v>
      </c>
      <c r="B6" s="5" t="s">
        <v>17</v>
      </c>
      <c r="C6" s="5" t="s">
        <v>56</v>
      </c>
      <c r="D6" s="5" t="s">
        <v>57</v>
      </c>
      <c r="E6" s="5" t="s">
        <v>58</v>
      </c>
      <c r="F6" s="4" t="s">
        <v>59</v>
      </c>
      <c r="G6" s="6" t="s">
        <v>272</v>
      </c>
      <c r="H6" s="4">
        <v>5</v>
      </c>
      <c r="I6" s="4" t="s">
        <v>54</v>
      </c>
      <c r="J6" s="4" t="s">
        <v>45</v>
      </c>
    </row>
    <row r="7" spans="1:10" ht="69.75" customHeight="1" x14ac:dyDescent="0.25">
      <c r="A7" s="4" t="s">
        <v>60</v>
      </c>
      <c r="B7" s="5" t="s">
        <v>17</v>
      </c>
      <c r="C7" s="5" t="s">
        <v>61</v>
      </c>
      <c r="D7" s="5" t="s">
        <v>62</v>
      </c>
      <c r="E7" s="5" t="s">
        <v>63</v>
      </c>
      <c r="F7" s="4" t="s">
        <v>64</v>
      </c>
      <c r="G7" s="6" t="s">
        <v>272</v>
      </c>
      <c r="H7" s="4">
        <v>3</v>
      </c>
      <c r="I7" s="4" t="s">
        <v>54</v>
      </c>
      <c r="J7" s="4" t="s">
        <v>45</v>
      </c>
    </row>
    <row r="8" spans="1:10" ht="69.75" customHeight="1" x14ac:dyDescent="0.25">
      <c r="A8" s="4" t="s">
        <v>65</v>
      </c>
      <c r="B8" s="5" t="s">
        <v>17</v>
      </c>
      <c r="C8" s="5" t="s">
        <v>61</v>
      </c>
      <c r="D8" s="5" t="s">
        <v>66</v>
      </c>
      <c r="E8" s="5" t="s">
        <v>67</v>
      </c>
      <c r="F8" s="4" t="s">
        <v>68</v>
      </c>
      <c r="G8" s="6" t="s">
        <v>272</v>
      </c>
      <c r="H8" s="4">
        <v>13</v>
      </c>
      <c r="I8" s="4" t="s">
        <v>69</v>
      </c>
      <c r="J8" s="4" t="s">
        <v>45</v>
      </c>
    </row>
    <row r="9" spans="1:10" ht="69.75" customHeight="1" x14ac:dyDescent="0.25">
      <c r="A9" s="4" t="s">
        <v>70</v>
      </c>
      <c r="B9" s="5" t="s">
        <v>17</v>
      </c>
      <c r="C9" s="5" t="s">
        <v>61</v>
      </c>
      <c r="D9" s="5" t="s">
        <v>71</v>
      </c>
      <c r="E9" s="5" t="s">
        <v>72</v>
      </c>
      <c r="F9" s="4" t="s">
        <v>73</v>
      </c>
      <c r="G9" s="6" t="s">
        <v>272</v>
      </c>
      <c r="H9" s="4">
        <v>8</v>
      </c>
      <c r="I9" s="4" t="s">
        <v>69</v>
      </c>
      <c r="J9" s="4" t="s">
        <v>45</v>
      </c>
    </row>
    <row r="10" spans="1:10" ht="69.75" customHeight="1" x14ac:dyDescent="0.25">
      <c r="A10" s="4" t="s">
        <v>74</v>
      </c>
      <c r="B10" s="5" t="s">
        <v>17</v>
      </c>
      <c r="C10" s="5" t="s">
        <v>75</v>
      </c>
      <c r="D10" s="5" t="s">
        <v>76</v>
      </c>
      <c r="E10" s="5" t="s">
        <v>77</v>
      </c>
      <c r="F10" s="4" t="s">
        <v>78</v>
      </c>
      <c r="G10" s="7" t="s">
        <v>273</v>
      </c>
      <c r="H10" s="4">
        <v>8</v>
      </c>
      <c r="I10" s="4" t="s">
        <v>79</v>
      </c>
      <c r="J10" s="4" t="s">
        <v>45</v>
      </c>
    </row>
    <row r="11" spans="1:10" ht="69.75" customHeight="1" x14ac:dyDescent="0.25">
      <c r="A11" s="4" t="s">
        <v>80</v>
      </c>
      <c r="B11" s="5" t="s">
        <v>17</v>
      </c>
      <c r="C11" s="5" t="s">
        <v>81</v>
      </c>
      <c r="D11" s="5" t="s">
        <v>82</v>
      </c>
      <c r="E11" s="5" t="s">
        <v>83</v>
      </c>
      <c r="F11" s="4" t="s">
        <v>84</v>
      </c>
      <c r="G11" s="8" t="s">
        <v>274</v>
      </c>
      <c r="H11" s="4">
        <v>5</v>
      </c>
      <c r="I11" s="4" t="s">
        <v>85</v>
      </c>
      <c r="J11" s="4" t="s">
        <v>45</v>
      </c>
    </row>
    <row r="12" spans="1:10" ht="69.75" customHeight="1" x14ac:dyDescent="0.25">
      <c r="A12" s="9" t="s">
        <v>86</v>
      </c>
      <c r="B12" s="10" t="s">
        <v>19</v>
      </c>
      <c r="C12" s="10" t="s">
        <v>40</v>
      </c>
      <c r="D12" s="10" t="s">
        <v>87</v>
      </c>
      <c r="E12" s="10" t="s">
        <v>88</v>
      </c>
      <c r="F12" s="9" t="s">
        <v>89</v>
      </c>
      <c r="G12" s="11" t="s">
        <v>272</v>
      </c>
      <c r="H12" s="9">
        <v>3</v>
      </c>
      <c r="I12" s="9" t="s">
        <v>44</v>
      </c>
      <c r="J12" s="9" t="s">
        <v>45</v>
      </c>
    </row>
    <row r="13" spans="1:10" ht="69.75" customHeight="1" x14ac:dyDescent="0.25">
      <c r="A13" s="9" t="s">
        <v>90</v>
      </c>
      <c r="B13" s="10" t="s">
        <v>19</v>
      </c>
      <c r="C13" s="10" t="s">
        <v>91</v>
      </c>
      <c r="D13" s="10" t="s">
        <v>92</v>
      </c>
      <c r="E13" s="10" t="s">
        <v>93</v>
      </c>
      <c r="F13" s="9" t="s">
        <v>94</v>
      </c>
      <c r="G13" s="11" t="s">
        <v>272</v>
      </c>
      <c r="H13" s="9">
        <v>3</v>
      </c>
      <c r="I13" s="9" t="s">
        <v>54</v>
      </c>
      <c r="J13" s="9" t="s">
        <v>45</v>
      </c>
    </row>
    <row r="14" spans="1:10" ht="69.75" customHeight="1" x14ac:dyDescent="0.25">
      <c r="A14" s="9" t="s">
        <v>95</v>
      </c>
      <c r="B14" s="10" t="s">
        <v>19</v>
      </c>
      <c r="C14" s="10" t="s">
        <v>61</v>
      </c>
      <c r="D14" s="10" t="s">
        <v>96</v>
      </c>
      <c r="E14" s="10" t="s">
        <v>97</v>
      </c>
      <c r="F14" s="9" t="s">
        <v>98</v>
      </c>
      <c r="G14" s="11" t="s">
        <v>272</v>
      </c>
      <c r="H14" s="9">
        <v>13</v>
      </c>
      <c r="I14" s="9" t="s">
        <v>69</v>
      </c>
      <c r="J14" s="9" t="s">
        <v>45</v>
      </c>
    </row>
    <row r="15" spans="1:10" ht="69.75" customHeight="1" x14ac:dyDescent="0.25">
      <c r="A15" s="9" t="s">
        <v>99</v>
      </c>
      <c r="B15" s="10" t="s">
        <v>19</v>
      </c>
      <c r="C15" s="10" t="s">
        <v>61</v>
      </c>
      <c r="D15" s="10" t="s">
        <v>100</v>
      </c>
      <c r="E15" s="10" t="s">
        <v>101</v>
      </c>
      <c r="F15" s="9" t="s">
        <v>98</v>
      </c>
      <c r="G15" s="11" t="s">
        <v>272</v>
      </c>
      <c r="H15" s="9">
        <v>5</v>
      </c>
      <c r="I15" s="9" t="s">
        <v>69</v>
      </c>
      <c r="J15" s="9" t="s">
        <v>45</v>
      </c>
    </row>
    <row r="16" spans="1:10" ht="69.75" customHeight="1" x14ac:dyDescent="0.25">
      <c r="A16" s="9" t="s">
        <v>102</v>
      </c>
      <c r="B16" s="10" t="s">
        <v>19</v>
      </c>
      <c r="C16" s="10" t="s">
        <v>56</v>
      </c>
      <c r="D16" s="10" t="s">
        <v>103</v>
      </c>
      <c r="E16" s="10" t="s">
        <v>104</v>
      </c>
      <c r="F16" s="9" t="s">
        <v>105</v>
      </c>
      <c r="G16" s="11" t="s">
        <v>272</v>
      </c>
      <c r="H16" s="9">
        <v>8</v>
      </c>
      <c r="I16" s="9" t="s">
        <v>54</v>
      </c>
      <c r="J16" s="9" t="s">
        <v>45</v>
      </c>
    </row>
    <row r="17" spans="1:10" ht="69.75" customHeight="1" x14ac:dyDescent="0.25">
      <c r="A17" s="9" t="s">
        <v>106</v>
      </c>
      <c r="B17" s="10" t="s">
        <v>19</v>
      </c>
      <c r="C17" s="10" t="s">
        <v>107</v>
      </c>
      <c r="D17" s="10" t="s">
        <v>108</v>
      </c>
      <c r="E17" s="10" t="s">
        <v>109</v>
      </c>
      <c r="F17" s="9" t="s">
        <v>110</v>
      </c>
      <c r="G17" s="12" t="s">
        <v>273</v>
      </c>
      <c r="H17" s="9">
        <v>8</v>
      </c>
      <c r="I17" s="9" t="s">
        <v>79</v>
      </c>
      <c r="J17" s="9" t="s">
        <v>45</v>
      </c>
    </row>
    <row r="18" spans="1:10" ht="69.75" customHeight="1" x14ac:dyDescent="0.25">
      <c r="A18" s="9" t="s">
        <v>111</v>
      </c>
      <c r="B18" s="10" t="s">
        <v>19</v>
      </c>
      <c r="C18" s="10" t="s">
        <v>107</v>
      </c>
      <c r="D18" s="10" t="s">
        <v>112</v>
      </c>
      <c r="E18" s="10" t="s">
        <v>113</v>
      </c>
      <c r="F18" s="9" t="s">
        <v>114</v>
      </c>
      <c r="G18" s="12" t="s">
        <v>273</v>
      </c>
      <c r="H18" s="9">
        <v>8</v>
      </c>
      <c r="I18" s="9" t="s">
        <v>79</v>
      </c>
      <c r="J18" s="9" t="s">
        <v>45</v>
      </c>
    </row>
    <row r="19" spans="1:10" ht="69.75" customHeight="1" x14ac:dyDescent="0.25">
      <c r="A19" s="13" t="s">
        <v>115</v>
      </c>
      <c r="B19" s="14" t="s">
        <v>21</v>
      </c>
      <c r="C19" s="14" t="s">
        <v>40</v>
      </c>
      <c r="D19" s="14" t="s">
        <v>116</v>
      </c>
      <c r="E19" s="14" t="s">
        <v>117</v>
      </c>
      <c r="F19" s="13" t="s">
        <v>118</v>
      </c>
      <c r="G19" s="15" t="s">
        <v>272</v>
      </c>
      <c r="H19" s="13">
        <v>3</v>
      </c>
      <c r="I19" s="13" t="s">
        <v>44</v>
      </c>
      <c r="J19" s="13" t="s">
        <v>45</v>
      </c>
    </row>
    <row r="20" spans="1:10" ht="69.75" customHeight="1" x14ac:dyDescent="0.25">
      <c r="A20" s="13" t="s">
        <v>119</v>
      </c>
      <c r="B20" s="14" t="s">
        <v>21</v>
      </c>
      <c r="C20" s="14" t="s">
        <v>91</v>
      </c>
      <c r="D20" s="14" t="s">
        <v>120</v>
      </c>
      <c r="E20" s="14" t="s">
        <v>121</v>
      </c>
      <c r="F20" s="13" t="s">
        <v>122</v>
      </c>
      <c r="G20" s="15" t="s">
        <v>272</v>
      </c>
      <c r="H20" s="13">
        <v>8</v>
      </c>
      <c r="I20" s="13" t="s">
        <v>54</v>
      </c>
      <c r="J20" s="13" t="s">
        <v>45</v>
      </c>
    </row>
    <row r="21" spans="1:10" ht="69.75" customHeight="1" x14ac:dyDescent="0.25">
      <c r="A21" s="13" t="s">
        <v>123</v>
      </c>
      <c r="B21" s="14" t="s">
        <v>21</v>
      </c>
      <c r="C21" s="14" t="s">
        <v>124</v>
      </c>
      <c r="D21" s="14" t="s">
        <v>125</v>
      </c>
      <c r="E21" s="14" t="s">
        <v>126</v>
      </c>
      <c r="F21" s="13" t="s">
        <v>127</v>
      </c>
      <c r="G21" s="15" t="s">
        <v>272</v>
      </c>
      <c r="H21" s="13">
        <v>8</v>
      </c>
      <c r="I21" s="13" t="s">
        <v>54</v>
      </c>
      <c r="J21" s="13" t="s">
        <v>45</v>
      </c>
    </row>
    <row r="22" spans="1:10" ht="69.75" customHeight="1" x14ac:dyDescent="0.25">
      <c r="A22" s="13" t="s">
        <v>128</v>
      </c>
      <c r="B22" s="14" t="s">
        <v>21</v>
      </c>
      <c r="C22" s="14" t="s">
        <v>129</v>
      </c>
      <c r="D22" s="14" t="s">
        <v>130</v>
      </c>
      <c r="E22" s="14" t="s">
        <v>131</v>
      </c>
      <c r="F22" s="13" t="s">
        <v>132</v>
      </c>
      <c r="G22" s="16" t="s">
        <v>273</v>
      </c>
      <c r="H22" s="13">
        <v>8</v>
      </c>
      <c r="I22" s="13" t="s">
        <v>69</v>
      </c>
      <c r="J22" s="13" t="s">
        <v>45</v>
      </c>
    </row>
    <row r="23" spans="1:10" ht="69.75" customHeight="1" x14ac:dyDescent="0.25">
      <c r="A23" s="13" t="s">
        <v>133</v>
      </c>
      <c r="B23" s="14" t="s">
        <v>21</v>
      </c>
      <c r="C23" s="14" t="s">
        <v>134</v>
      </c>
      <c r="D23" s="14" t="s">
        <v>135</v>
      </c>
      <c r="E23" s="14" t="s">
        <v>136</v>
      </c>
      <c r="F23" s="13" t="s">
        <v>137</v>
      </c>
      <c r="G23" s="15" t="s">
        <v>272</v>
      </c>
      <c r="H23" s="13">
        <v>5</v>
      </c>
      <c r="I23" s="13" t="s">
        <v>54</v>
      </c>
      <c r="J23" s="13" t="s">
        <v>45</v>
      </c>
    </row>
    <row r="24" spans="1:10" ht="69.75" customHeight="1" x14ac:dyDescent="0.25">
      <c r="A24" s="13" t="s">
        <v>138</v>
      </c>
      <c r="B24" s="14" t="s">
        <v>21</v>
      </c>
      <c r="C24" s="14" t="s">
        <v>56</v>
      </c>
      <c r="D24" s="14" t="s">
        <v>139</v>
      </c>
      <c r="E24" s="14" t="s">
        <v>140</v>
      </c>
      <c r="F24" s="13" t="s">
        <v>141</v>
      </c>
      <c r="G24" s="16" t="s">
        <v>273</v>
      </c>
      <c r="H24" s="13">
        <v>5</v>
      </c>
      <c r="I24" s="13" t="s">
        <v>79</v>
      </c>
      <c r="J24" s="13" t="s">
        <v>45</v>
      </c>
    </row>
    <row r="25" spans="1:10" ht="69.75" customHeight="1" x14ac:dyDescent="0.25">
      <c r="A25" s="13" t="s">
        <v>142</v>
      </c>
      <c r="B25" s="14" t="s">
        <v>21</v>
      </c>
      <c r="C25" s="14" t="s">
        <v>143</v>
      </c>
      <c r="D25" s="14" t="s">
        <v>144</v>
      </c>
      <c r="E25" s="14" t="s">
        <v>145</v>
      </c>
      <c r="F25" s="13" t="s">
        <v>146</v>
      </c>
      <c r="G25" s="15" t="s">
        <v>272</v>
      </c>
      <c r="H25" s="13">
        <v>5</v>
      </c>
      <c r="I25" s="13" t="s">
        <v>69</v>
      </c>
      <c r="J25" s="13" t="s">
        <v>45</v>
      </c>
    </row>
    <row r="26" spans="1:10" ht="69.75" customHeight="1" x14ac:dyDescent="0.25">
      <c r="A26" s="13" t="s">
        <v>147</v>
      </c>
      <c r="B26" s="14" t="s">
        <v>21</v>
      </c>
      <c r="C26" s="14" t="s">
        <v>143</v>
      </c>
      <c r="D26" s="14" t="s">
        <v>148</v>
      </c>
      <c r="E26" s="14" t="s">
        <v>149</v>
      </c>
      <c r="F26" s="13" t="s">
        <v>150</v>
      </c>
      <c r="G26" s="15" t="s">
        <v>272</v>
      </c>
      <c r="H26" s="13">
        <v>3</v>
      </c>
      <c r="I26" s="13" t="s">
        <v>69</v>
      </c>
      <c r="J26" s="13" t="s">
        <v>45</v>
      </c>
    </row>
    <row r="27" spans="1:10" ht="69.75" customHeight="1" x14ac:dyDescent="0.25">
      <c r="A27" s="13" t="s">
        <v>151</v>
      </c>
      <c r="B27" s="14" t="s">
        <v>21</v>
      </c>
      <c r="C27" s="14" t="s">
        <v>107</v>
      </c>
      <c r="D27" s="14" t="s">
        <v>152</v>
      </c>
      <c r="E27" s="14" t="s">
        <v>153</v>
      </c>
      <c r="F27" s="13" t="s">
        <v>154</v>
      </c>
      <c r="G27" s="16" t="s">
        <v>273</v>
      </c>
      <c r="H27" s="13">
        <v>8</v>
      </c>
      <c r="I27" s="13" t="s">
        <v>79</v>
      </c>
      <c r="J27" s="13" t="s">
        <v>45</v>
      </c>
    </row>
    <row r="28" spans="1:10" ht="69.75" customHeight="1" x14ac:dyDescent="0.25">
      <c r="A28" s="13" t="s">
        <v>155</v>
      </c>
      <c r="B28" s="14" t="s">
        <v>21</v>
      </c>
      <c r="C28" s="14" t="s">
        <v>107</v>
      </c>
      <c r="D28" s="14" t="s">
        <v>156</v>
      </c>
      <c r="E28" s="14" t="s">
        <v>157</v>
      </c>
      <c r="F28" s="13" t="s">
        <v>158</v>
      </c>
      <c r="G28" s="16" t="s">
        <v>273</v>
      </c>
      <c r="H28" s="13">
        <v>5</v>
      </c>
      <c r="I28" s="13" t="s">
        <v>79</v>
      </c>
      <c r="J28" s="13" t="s">
        <v>45</v>
      </c>
    </row>
    <row r="29" spans="1:10" ht="69.75" customHeight="1" x14ac:dyDescent="0.25">
      <c r="A29" s="17" t="s">
        <v>159</v>
      </c>
      <c r="B29" s="18" t="s">
        <v>23</v>
      </c>
      <c r="C29" s="18" t="s">
        <v>40</v>
      </c>
      <c r="D29" s="18" t="s">
        <v>160</v>
      </c>
      <c r="E29" s="18" t="s">
        <v>161</v>
      </c>
      <c r="F29" s="17" t="s">
        <v>162</v>
      </c>
      <c r="G29" s="19" t="s">
        <v>272</v>
      </c>
      <c r="H29" s="17">
        <v>3</v>
      </c>
      <c r="I29" s="17" t="s">
        <v>44</v>
      </c>
      <c r="J29" s="17" t="s">
        <v>45</v>
      </c>
    </row>
    <row r="30" spans="1:10" ht="69.75" customHeight="1" x14ac:dyDescent="0.25">
      <c r="A30" s="17" t="s">
        <v>163</v>
      </c>
      <c r="B30" s="18" t="s">
        <v>23</v>
      </c>
      <c r="C30" s="18" t="s">
        <v>124</v>
      </c>
      <c r="D30" s="18" t="s">
        <v>164</v>
      </c>
      <c r="E30" s="18" t="s">
        <v>165</v>
      </c>
      <c r="F30" s="17" t="s">
        <v>166</v>
      </c>
      <c r="G30" s="19" t="s">
        <v>272</v>
      </c>
      <c r="H30" s="17">
        <v>8</v>
      </c>
      <c r="I30" s="17" t="s">
        <v>54</v>
      </c>
      <c r="J30" s="17" t="s">
        <v>45</v>
      </c>
    </row>
    <row r="31" spans="1:10" ht="69.75" customHeight="1" x14ac:dyDescent="0.25">
      <c r="A31" s="17" t="s">
        <v>167</v>
      </c>
      <c r="B31" s="18" t="s">
        <v>23</v>
      </c>
      <c r="C31" s="18" t="s">
        <v>91</v>
      </c>
      <c r="D31" s="18" t="s">
        <v>168</v>
      </c>
      <c r="E31" s="18" t="s">
        <v>169</v>
      </c>
      <c r="F31" s="17" t="s">
        <v>170</v>
      </c>
      <c r="G31" s="19" t="s">
        <v>272</v>
      </c>
      <c r="H31" s="17">
        <v>5</v>
      </c>
      <c r="I31" s="17" t="s">
        <v>54</v>
      </c>
      <c r="J31" s="17" t="s">
        <v>45</v>
      </c>
    </row>
    <row r="32" spans="1:10" ht="69.75" customHeight="1" x14ac:dyDescent="0.25">
      <c r="A32" s="17" t="s">
        <v>171</v>
      </c>
      <c r="B32" s="18" t="s">
        <v>23</v>
      </c>
      <c r="C32" s="18" t="s">
        <v>143</v>
      </c>
      <c r="D32" s="18" t="s">
        <v>172</v>
      </c>
      <c r="E32" s="18" t="s">
        <v>173</v>
      </c>
      <c r="F32" s="17" t="s">
        <v>174</v>
      </c>
      <c r="G32" s="19" t="s">
        <v>272</v>
      </c>
      <c r="H32" s="17">
        <v>5</v>
      </c>
      <c r="I32" s="17" t="s">
        <v>54</v>
      </c>
      <c r="J32" s="17" t="s">
        <v>45</v>
      </c>
    </row>
    <row r="33" spans="1:10" ht="69.75" customHeight="1" x14ac:dyDescent="0.25">
      <c r="A33" s="17" t="s">
        <v>175</v>
      </c>
      <c r="B33" s="18" t="s">
        <v>23</v>
      </c>
      <c r="C33" s="18" t="s">
        <v>176</v>
      </c>
      <c r="D33" s="18" t="s">
        <v>177</v>
      </c>
      <c r="E33" s="18" t="s">
        <v>178</v>
      </c>
      <c r="F33" s="17" t="s">
        <v>179</v>
      </c>
      <c r="G33" s="20" t="s">
        <v>273</v>
      </c>
      <c r="H33" s="17">
        <v>13</v>
      </c>
      <c r="I33" s="17" t="s">
        <v>85</v>
      </c>
      <c r="J33" s="17" t="s">
        <v>45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showGridLines="0" zoomScaleNormal="100" workbookViewId="0">
      <selection activeCell="B7" sqref="B7"/>
    </sheetView>
  </sheetViews>
  <sheetFormatPr defaultColWidth="8.7109375" defaultRowHeight="15" x14ac:dyDescent="0.25"/>
  <cols>
    <col min="1" max="1" width="8" customWidth="1"/>
    <col min="2" max="2" width="18" customWidth="1"/>
    <col min="3" max="3" width="22" customWidth="1"/>
    <col min="4" max="4" width="55" customWidth="1"/>
    <col min="5" max="6" width="18" customWidth="1"/>
  </cols>
  <sheetData>
    <row r="1" spans="1:6" ht="18" x14ac:dyDescent="0.25">
      <c r="A1" s="60" t="s">
        <v>180</v>
      </c>
      <c r="B1" s="60"/>
      <c r="C1" s="60"/>
      <c r="D1" s="60"/>
      <c r="E1" s="60"/>
      <c r="F1" s="60"/>
    </row>
    <row r="2" spans="1:6" ht="19.5" customHeight="1" x14ac:dyDescent="0.25">
      <c r="A2" s="35" t="s">
        <v>181</v>
      </c>
      <c r="B2" s="35" t="s">
        <v>182</v>
      </c>
      <c r="C2" s="35" t="s">
        <v>183</v>
      </c>
      <c r="D2" s="35" t="s">
        <v>184</v>
      </c>
      <c r="E2" s="35" t="s">
        <v>185</v>
      </c>
      <c r="F2" s="35" t="s">
        <v>35</v>
      </c>
    </row>
    <row r="3" spans="1:6" ht="39.75" customHeight="1" x14ac:dyDescent="0.25">
      <c r="A3" s="21" t="s">
        <v>186</v>
      </c>
      <c r="B3" s="21" t="s">
        <v>187</v>
      </c>
      <c r="C3" s="21" t="s">
        <v>188</v>
      </c>
      <c r="D3" s="22" t="s">
        <v>189</v>
      </c>
      <c r="E3" s="21" t="s">
        <v>190</v>
      </c>
      <c r="F3" s="23" t="s">
        <v>272</v>
      </c>
    </row>
    <row r="4" spans="1:6" ht="39.75" customHeight="1" x14ac:dyDescent="0.25">
      <c r="A4" s="24" t="s">
        <v>191</v>
      </c>
      <c r="B4" s="24" t="s">
        <v>192</v>
      </c>
      <c r="C4" s="24" t="s">
        <v>193</v>
      </c>
      <c r="D4" s="25" t="s">
        <v>194</v>
      </c>
      <c r="E4" s="24" t="s">
        <v>190</v>
      </c>
      <c r="F4" s="26" t="s">
        <v>272</v>
      </c>
    </row>
    <row r="5" spans="1:6" ht="39.75" customHeight="1" x14ac:dyDescent="0.25">
      <c r="A5" s="21" t="s">
        <v>195</v>
      </c>
      <c r="B5" s="21" t="s">
        <v>196</v>
      </c>
      <c r="C5" s="21" t="s">
        <v>197</v>
      </c>
      <c r="D5" s="22" t="s">
        <v>198</v>
      </c>
      <c r="E5" s="21" t="s">
        <v>199</v>
      </c>
      <c r="F5" s="23" t="s">
        <v>272</v>
      </c>
    </row>
    <row r="6" spans="1:6" ht="39.75" customHeight="1" x14ac:dyDescent="0.25">
      <c r="A6" s="24" t="s">
        <v>200</v>
      </c>
      <c r="B6" s="24" t="s">
        <v>75</v>
      </c>
      <c r="C6" s="24" t="s">
        <v>201</v>
      </c>
      <c r="D6" s="25" t="s">
        <v>202</v>
      </c>
      <c r="E6" s="24" t="s">
        <v>190</v>
      </c>
      <c r="F6" s="26" t="s">
        <v>272</v>
      </c>
    </row>
    <row r="7" spans="1:6" ht="39.75" customHeight="1" x14ac:dyDescent="0.25">
      <c r="A7" s="21" t="s">
        <v>203</v>
      </c>
      <c r="B7" s="21" t="s">
        <v>204</v>
      </c>
      <c r="C7" s="21" t="s">
        <v>205</v>
      </c>
      <c r="D7" s="22" t="s">
        <v>206</v>
      </c>
      <c r="E7" s="21" t="s">
        <v>190</v>
      </c>
      <c r="F7" s="27" t="s">
        <v>276</v>
      </c>
    </row>
    <row r="8" spans="1:6" ht="39.75" customHeight="1" x14ac:dyDescent="0.25">
      <c r="A8" s="24" t="s">
        <v>207</v>
      </c>
      <c r="B8" s="24" t="s">
        <v>208</v>
      </c>
      <c r="C8" s="24" t="s">
        <v>209</v>
      </c>
      <c r="D8" s="25" t="s">
        <v>210</v>
      </c>
      <c r="E8" s="24" t="s">
        <v>190</v>
      </c>
      <c r="F8" s="26" t="s">
        <v>272</v>
      </c>
    </row>
    <row r="9" spans="1:6" ht="39.75" customHeight="1" x14ac:dyDescent="0.25">
      <c r="A9" s="21" t="s">
        <v>211</v>
      </c>
      <c r="B9" s="21" t="s">
        <v>212</v>
      </c>
      <c r="C9" s="21" t="s">
        <v>213</v>
      </c>
      <c r="D9" s="22" t="s">
        <v>214</v>
      </c>
      <c r="E9" s="21" t="s">
        <v>190</v>
      </c>
      <c r="F9" s="23" t="s">
        <v>272</v>
      </c>
    </row>
    <row r="10" spans="1:6" ht="39.75" customHeight="1" x14ac:dyDescent="0.25">
      <c r="A10" s="24" t="s">
        <v>215</v>
      </c>
      <c r="B10" s="24" t="s">
        <v>216</v>
      </c>
      <c r="C10" s="24" t="s">
        <v>181</v>
      </c>
      <c r="D10" s="25" t="s">
        <v>217</v>
      </c>
      <c r="E10" s="24" t="s">
        <v>190</v>
      </c>
      <c r="F10" s="28" t="s">
        <v>276</v>
      </c>
    </row>
    <row r="11" spans="1:6" ht="39.75" customHeight="1" x14ac:dyDescent="0.25">
      <c r="A11" s="21" t="s">
        <v>218</v>
      </c>
      <c r="B11" s="21" t="s">
        <v>219</v>
      </c>
      <c r="C11" s="21" t="s">
        <v>220</v>
      </c>
      <c r="D11" s="22" t="s">
        <v>221</v>
      </c>
      <c r="E11" s="21" t="s">
        <v>190</v>
      </c>
      <c r="F11" s="27" t="s">
        <v>276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showGridLines="0" zoomScaleNormal="100" workbookViewId="0">
      <selection activeCell="J7" sqref="J7"/>
    </sheetView>
  </sheetViews>
  <sheetFormatPr defaultColWidth="8.7109375" defaultRowHeight="15" x14ac:dyDescent="0.25"/>
  <cols>
    <col min="1" max="1" width="10" customWidth="1"/>
    <col min="2" max="2" width="16" customWidth="1"/>
    <col min="3" max="3" width="12" customWidth="1"/>
    <col min="4" max="4" width="48" customWidth="1"/>
    <col min="5" max="5" width="16" customWidth="1"/>
    <col min="6" max="7" width="14" customWidth="1"/>
  </cols>
  <sheetData>
    <row r="1" spans="1:7" ht="18" x14ac:dyDescent="0.25">
      <c r="A1" s="60" t="s">
        <v>222</v>
      </c>
      <c r="B1" s="60"/>
      <c r="C1" s="60"/>
      <c r="D1" s="60"/>
      <c r="E1" s="60"/>
      <c r="F1" s="60"/>
      <c r="G1" s="60"/>
    </row>
    <row r="2" spans="1:7" ht="19.5" customHeight="1" x14ac:dyDescent="0.25">
      <c r="A2" s="35" t="s">
        <v>37</v>
      </c>
      <c r="B2" s="35" t="s">
        <v>223</v>
      </c>
      <c r="C2" s="35" t="s">
        <v>224</v>
      </c>
      <c r="D2" s="35" t="s">
        <v>225</v>
      </c>
      <c r="E2" s="35" t="s">
        <v>30</v>
      </c>
      <c r="F2" s="35" t="s">
        <v>226</v>
      </c>
      <c r="G2" s="35" t="s">
        <v>38</v>
      </c>
    </row>
    <row r="3" spans="1:7" ht="69.75" customHeight="1" x14ac:dyDescent="0.25">
      <c r="A3" s="36" t="s">
        <v>44</v>
      </c>
      <c r="B3" s="37" t="s">
        <v>227</v>
      </c>
      <c r="C3" s="36" t="s">
        <v>228</v>
      </c>
      <c r="D3" s="37" t="s">
        <v>229</v>
      </c>
      <c r="E3" s="36" t="s">
        <v>190</v>
      </c>
      <c r="F3" s="36">
        <v>16</v>
      </c>
      <c r="G3" s="36" t="s">
        <v>45</v>
      </c>
    </row>
    <row r="4" spans="1:7" ht="69.75" customHeight="1" x14ac:dyDescent="0.25">
      <c r="A4" s="44" t="s">
        <v>54</v>
      </c>
      <c r="B4" s="45" t="s">
        <v>230</v>
      </c>
      <c r="C4" s="44" t="s">
        <v>231</v>
      </c>
      <c r="D4" s="45" t="s">
        <v>232</v>
      </c>
      <c r="E4" s="44" t="s">
        <v>190</v>
      </c>
      <c r="F4" s="44">
        <v>57</v>
      </c>
      <c r="G4" s="44" t="s">
        <v>45</v>
      </c>
    </row>
    <row r="5" spans="1:7" ht="69.75" customHeight="1" x14ac:dyDescent="0.25">
      <c r="A5" s="38" t="s">
        <v>69</v>
      </c>
      <c r="B5" s="39" t="s">
        <v>233</v>
      </c>
      <c r="C5" s="38" t="s">
        <v>234</v>
      </c>
      <c r="D5" s="39" t="s">
        <v>235</v>
      </c>
      <c r="E5" s="38" t="s">
        <v>236</v>
      </c>
      <c r="F5" s="38">
        <v>57</v>
      </c>
      <c r="G5" s="38" t="s">
        <v>45</v>
      </c>
    </row>
    <row r="6" spans="1:7" ht="69.75" customHeight="1" x14ac:dyDescent="0.25">
      <c r="A6" s="42" t="s">
        <v>79</v>
      </c>
      <c r="B6" s="43" t="s">
        <v>237</v>
      </c>
      <c r="C6" s="42" t="s">
        <v>238</v>
      </c>
      <c r="D6" s="43" t="s">
        <v>239</v>
      </c>
      <c r="E6" s="42" t="s">
        <v>190</v>
      </c>
      <c r="F6" s="42">
        <v>42</v>
      </c>
      <c r="G6" s="42" t="s">
        <v>45</v>
      </c>
    </row>
    <row r="7" spans="1:7" ht="69.75" customHeight="1" x14ac:dyDescent="0.25">
      <c r="A7" s="40" t="s">
        <v>85</v>
      </c>
      <c r="B7" s="41" t="s">
        <v>240</v>
      </c>
      <c r="C7" s="40" t="s">
        <v>241</v>
      </c>
      <c r="D7" s="41" t="s">
        <v>242</v>
      </c>
      <c r="E7" s="40" t="s">
        <v>243</v>
      </c>
      <c r="F7" s="40">
        <v>18</v>
      </c>
      <c r="G7" s="40" t="s">
        <v>45</v>
      </c>
    </row>
    <row r="8" spans="1:7" x14ac:dyDescent="0.25">
      <c r="A8" s="61" t="s">
        <v>244</v>
      </c>
      <c r="B8" s="61"/>
      <c r="C8" s="61"/>
      <c r="D8" s="61"/>
      <c r="E8" s="61"/>
      <c r="F8" s="46">
        <f>SUM(F3:F7)</f>
        <v>190</v>
      </c>
      <c r="G8" s="47"/>
    </row>
  </sheetData>
  <mergeCells count="2">
    <mergeCell ref="A1:G1"/>
    <mergeCell ref="A8:E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showGridLines="0" topLeftCell="A4" zoomScaleNormal="100" workbookViewId="0">
      <selection activeCell="H5" sqref="H5"/>
    </sheetView>
  </sheetViews>
  <sheetFormatPr defaultColWidth="8.7109375" defaultRowHeight="15" x14ac:dyDescent="0.25"/>
  <cols>
    <col min="1" max="1" width="12" customWidth="1"/>
    <col min="2" max="2" width="22" customWidth="1"/>
    <col min="3" max="3" width="50" customWidth="1"/>
    <col min="4" max="4" width="16" customWidth="1"/>
    <col min="5" max="5" width="14" customWidth="1"/>
    <col min="6" max="6" width="16" customWidth="1"/>
  </cols>
  <sheetData>
    <row r="1" spans="1:6" ht="18" x14ac:dyDescent="0.25">
      <c r="A1" s="60" t="s">
        <v>245</v>
      </c>
      <c r="B1" s="60"/>
      <c r="C1" s="60"/>
      <c r="D1" s="60"/>
      <c r="E1" s="60"/>
      <c r="F1" s="60"/>
    </row>
    <row r="2" spans="1:6" ht="19.5" customHeight="1" x14ac:dyDescent="0.25">
      <c r="A2" s="35" t="s">
        <v>31</v>
      </c>
      <c r="B2" s="35" t="s">
        <v>246</v>
      </c>
      <c r="C2" s="35" t="s">
        <v>223</v>
      </c>
      <c r="D2" s="35" t="s">
        <v>224</v>
      </c>
      <c r="E2" s="35" t="s">
        <v>226</v>
      </c>
      <c r="F2" s="35" t="s">
        <v>35</v>
      </c>
    </row>
    <row r="3" spans="1:6" ht="45" customHeight="1" x14ac:dyDescent="0.25">
      <c r="A3" s="21" t="s">
        <v>40</v>
      </c>
      <c r="B3" s="21" t="s">
        <v>190</v>
      </c>
      <c r="C3" s="22" t="s">
        <v>247</v>
      </c>
      <c r="D3" s="21" t="s">
        <v>248</v>
      </c>
      <c r="E3" s="21">
        <v>16</v>
      </c>
      <c r="F3" s="23" t="s">
        <v>272</v>
      </c>
    </row>
    <row r="4" spans="1:6" ht="45" customHeight="1" x14ac:dyDescent="0.25">
      <c r="A4" s="24" t="s">
        <v>50</v>
      </c>
      <c r="B4" s="24" t="s">
        <v>249</v>
      </c>
      <c r="C4" s="25" t="s">
        <v>250</v>
      </c>
      <c r="D4" s="24" t="s">
        <v>49</v>
      </c>
      <c r="E4" s="24">
        <v>8</v>
      </c>
      <c r="F4" s="26" t="s">
        <v>272</v>
      </c>
    </row>
    <row r="5" spans="1:6" ht="45" customHeight="1" x14ac:dyDescent="0.25">
      <c r="A5" s="21" t="s">
        <v>56</v>
      </c>
      <c r="B5" s="21" t="s">
        <v>251</v>
      </c>
      <c r="C5" s="22" t="s">
        <v>252</v>
      </c>
      <c r="D5" s="21" t="s">
        <v>253</v>
      </c>
      <c r="E5" s="21">
        <v>18</v>
      </c>
      <c r="F5" s="23" t="s">
        <v>272</v>
      </c>
    </row>
    <row r="6" spans="1:6" ht="45" customHeight="1" x14ac:dyDescent="0.25">
      <c r="A6" s="24" t="s">
        <v>61</v>
      </c>
      <c r="B6" s="24" t="s">
        <v>254</v>
      </c>
      <c r="C6" s="25" t="s">
        <v>255</v>
      </c>
      <c r="D6" s="24" t="s">
        <v>256</v>
      </c>
      <c r="E6" s="24">
        <v>42</v>
      </c>
      <c r="F6" s="26" t="s">
        <v>272</v>
      </c>
    </row>
    <row r="7" spans="1:6" ht="45" customHeight="1" x14ac:dyDescent="0.25">
      <c r="A7" s="21" t="s">
        <v>257</v>
      </c>
      <c r="B7" s="21" t="s">
        <v>258</v>
      </c>
      <c r="C7" s="22" t="s">
        <v>259</v>
      </c>
      <c r="D7" s="21" t="s">
        <v>260</v>
      </c>
      <c r="E7" s="21">
        <v>54</v>
      </c>
      <c r="F7" s="23" t="s">
        <v>272</v>
      </c>
    </row>
    <row r="8" spans="1:6" ht="45" customHeight="1" x14ac:dyDescent="0.25">
      <c r="A8" s="24" t="s">
        <v>107</v>
      </c>
      <c r="B8" s="24" t="s">
        <v>261</v>
      </c>
      <c r="C8" s="25" t="s">
        <v>262</v>
      </c>
      <c r="D8" s="24" t="s">
        <v>263</v>
      </c>
      <c r="E8" s="24">
        <v>29</v>
      </c>
      <c r="F8" s="28" t="s">
        <v>276</v>
      </c>
    </row>
    <row r="9" spans="1:6" ht="45" customHeight="1" x14ac:dyDescent="0.25">
      <c r="A9" s="21" t="s">
        <v>264</v>
      </c>
      <c r="B9" s="21" t="s">
        <v>249</v>
      </c>
      <c r="C9" s="22" t="s">
        <v>265</v>
      </c>
      <c r="D9" s="21" t="s">
        <v>74</v>
      </c>
      <c r="E9" s="21">
        <v>8</v>
      </c>
      <c r="F9" s="27" t="s">
        <v>276</v>
      </c>
    </row>
    <row r="10" spans="1:6" ht="45" customHeight="1" x14ac:dyDescent="0.25">
      <c r="A10" s="24" t="s">
        <v>81</v>
      </c>
      <c r="B10" s="24" t="s">
        <v>249</v>
      </c>
      <c r="C10" s="25" t="s">
        <v>266</v>
      </c>
      <c r="D10" s="24" t="s">
        <v>80</v>
      </c>
      <c r="E10" s="24">
        <v>5</v>
      </c>
      <c r="F10" s="29" t="s">
        <v>277</v>
      </c>
    </row>
    <row r="11" spans="1:6" ht="45" customHeight="1" x14ac:dyDescent="0.25">
      <c r="A11" s="21" t="s">
        <v>267</v>
      </c>
      <c r="B11" s="21" t="s">
        <v>268</v>
      </c>
      <c r="C11" s="22" t="s">
        <v>269</v>
      </c>
      <c r="D11" s="21" t="s">
        <v>175</v>
      </c>
      <c r="E11" s="21">
        <v>13</v>
      </c>
      <c r="F11" s="27" t="s">
        <v>276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📋 Resumo</vt:lpstr>
      <vt:lpstr>📦 Product Backlog</vt:lpstr>
      <vt:lpstr>⚙️ Req. Não Funcionais</vt:lpstr>
      <vt:lpstr>🗓️ Sprints</vt:lpstr>
      <vt:lpstr>🏗️ Épicos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KRIGOR NASARE</cp:lastModifiedBy>
  <cp:revision>0</cp:revision>
  <dcterms:created xsi:type="dcterms:W3CDTF">2026-03-25T23:36:55Z</dcterms:created>
  <dcterms:modified xsi:type="dcterms:W3CDTF">2026-03-30T00:04:40Z</dcterms:modified>
  <dc:language>en-US</dc:language>
</cp:coreProperties>
</file>